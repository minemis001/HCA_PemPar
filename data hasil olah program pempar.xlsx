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PemPar\tugas\projek uts\"/>
    </mc:Choice>
  </mc:AlternateContent>
  <xr:revisionPtr revIDLastSave="0" documentId="13_ncr:1_{9325618F-86FC-46C8-957C-7441289FFA49}" xr6:coauthVersionLast="47" xr6:coauthVersionMax="47" xr10:uidLastSave="{00000000-0000-0000-0000-000000000000}"/>
  <bookViews>
    <workbookView xWindow="-98" yWindow="-98" windowWidth="21795" windowHeight="12975" xr2:uid="{1BEBE3C8-2623-48D9-9188-AE9F45C86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0" i="1" l="1"/>
  <c r="AP11" i="1"/>
  <c r="AP12" i="1"/>
  <c r="AP13" i="1"/>
  <c r="AP9" i="1"/>
  <c r="AP8" i="1"/>
  <c r="AP7" i="1"/>
  <c r="AP6" i="1"/>
  <c r="AP5" i="1"/>
  <c r="Z20" i="1"/>
  <c r="Z21" i="1"/>
  <c r="Z22" i="1"/>
  <c r="Z23" i="1"/>
  <c r="Z24" i="1"/>
  <c r="Z25" i="1"/>
  <c r="Z26" i="1"/>
  <c r="Z27" i="1"/>
  <c r="Z28" i="1"/>
  <c r="Z29" i="1"/>
  <c r="AH15" i="1"/>
  <c r="AH6" i="1"/>
  <c r="AH7" i="1"/>
  <c r="AH8" i="1"/>
  <c r="AH9" i="1"/>
  <c r="AH5" i="1"/>
  <c r="AA12" i="1"/>
  <c r="AA13" i="1"/>
  <c r="AA14" i="1"/>
  <c r="AA15" i="1"/>
  <c r="AA11" i="1"/>
  <c r="AA6" i="1"/>
  <c r="AA7" i="1"/>
  <c r="AA8" i="1"/>
  <c r="AA9" i="1"/>
  <c r="AA5" i="1"/>
  <c r="T12" i="1"/>
  <c r="T13" i="1"/>
  <c r="T14" i="1"/>
  <c r="T15" i="1"/>
  <c r="T11" i="1"/>
  <c r="T7" i="1"/>
  <c r="T8" i="1"/>
  <c r="T9" i="1"/>
  <c r="T6" i="1"/>
  <c r="T5" i="1"/>
  <c r="M9" i="1"/>
  <c r="M8" i="1"/>
  <c r="M7" i="1"/>
  <c r="M6" i="1"/>
  <c r="M5" i="1"/>
  <c r="P23" i="1" s="1"/>
  <c r="F5" i="1"/>
  <c r="N23" i="1" s="1"/>
  <c r="F8" i="1"/>
  <c r="F9" i="1"/>
  <c r="F11" i="1"/>
  <c r="F12" i="1"/>
  <c r="F13" i="1"/>
  <c r="F14" i="1"/>
  <c r="F16" i="1"/>
  <c r="F17" i="1"/>
  <c r="F18" i="1"/>
  <c r="F19" i="1"/>
  <c r="F21" i="1"/>
  <c r="F22" i="1"/>
  <c r="F23" i="1"/>
  <c r="F24" i="1"/>
  <c r="F26" i="1"/>
  <c r="F27" i="1"/>
  <c r="F28" i="1"/>
  <c r="F29" i="1"/>
  <c r="F7" i="1"/>
  <c r="F6" i="1"/>
  <c r="R27" i="1" l="1"/>
  <c r="P26" i="1"/>
  <c r="O24" i="1"/>
  <c r="R26" i="1"/>
  <c r="Q23" i="1"/>
  <c r="R23" i="1"/>
  <c r="N24" i="1"/>
  <c r="P24" i="1"/>
  <c r="Q24" i="1"/>
  <c r="R24" i="1"/>
  <c r="N25" i="1"/>
  <c r="O25" i="1"/>
  <c r="P25" i="1"/>
  <c r="Q25" i="1"/>
  <c r="R25" i="1"/>
  <c r="N26" i="1"/>
  <c r="O26" i="1"/>
  <c r="Q26" i="1"/>
  <c r="N27" i="1"/>
  <c r="O27" i="1"/>
  <c r="P27" i="1"/>
  <c r="Q27" i="1"/>
  <c r="O23" i="1"/>
</calcChain>
</file>

<file path=xl/sharedStrings.xml><?xml version="1.0" encoding="utf-8"?>
<sst xmlns="http://schemas.openxmlformats.org/spreadsheetml/2006/main" count="37" uniqueCount="13">
  <si>
    <t>hasil ke-1</t>
  </si>
  <si>
    <t>hasil ke-3</t>
  </si>
  <si>
    <t>tabel speedup</t>
  </si>
  <si>
    <t>hasil ke-2</t>
  </si>
  <si>
    <t>4D</t>
  </si>
  <si>
    <t>5D</t>
  </si>
  <si>
    <t>6D</t>
  </si>
  <si>
    <t>7D</t>
  </si>
  <si>
    <t>8D</t>
  </si>
  <si>
    <t>9D</t>
  </si>
  <si>
    <t>10D</t>
  </si>
  <si>
    <t>11D</t>
  </si>
  <si>
    <t>12D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</si>
</sst>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Grafik</a:t>
            </a:r>
            <a:r>
              <a:rPr lang="en-ID" baseline="0"/>
              <a:t> Waktu Pengerjaan Kumpulan Data Berdasarkan Jumlah Prosesor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8.1149291324029635E-2"/>
          <c:y val="0.25546296296296295"/>
          <c:w val="0.89656658828557134"/>
          <c:h val="0.5358639545056868"/>
        </c:manualLayout>
      </c:layout>
      <c:lineChart>
        <c:grouping val="standard"/>
        <c:varyColors val="0"/>
        <c:ser>
          <c:idx val="0"/>
          <c:order val="0"/>
          <c:tx>
            <c:strRef>
              <c:f>Sheet1!$C$33:$C$34</c:f>
              <c:strCache>
                <c:ptCount val="2"/>
                <c:pt idx="0">
                  <c:v>200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Sheet1!$B$35:$B$39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</c:numCache>
            </c:numRef>
          </c:cat>
          <c:val>
            <c:numRef>
              <c:f>Sheet1!$C$35:$C$39</c:f>
              <c:numCache>
                <c:formatCode>General</c:formatCode>
                <c:ptCount val="5"/>
                <c:pt idx="0">
                  <c:v>0.3251</c:v>
                </c:pt>
                <c:pt idx="1">
                  <c:v>0.33410000000000001</c:v>
                </c:pt>
                <c:pt idx="2">
                  <c:v>0.29249999999999998</c:v>
                </c:pt>
                <c:pt idx="3">
                  <c:v>0.32090000000000002</c:v>
                </c:pt>
                <c:pt idx="4">
                  <c:v>0.30620000000000003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B7-4F34-86EE-B6881D616AF4}"/>
            </c:ext>
          </c:extLst>
        </c:ser>
        <c:ser>
          <c:idx val="1"/>
          <c:order val="1"/>
          <c:tx>
            <c:strRef>
              <c:f>Sheet1!$D$33:$D$34</c:f>
              <c:strCache>
                <c:ptCount val="2"/>
                <c:pt idx="0">
                  <c:v>400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Sheet1!$B$35:$B$39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</c:numCache>
            </c:numRef>
          </c:cat>
          <c:val>
            <c:numRef>
              <c:f>Sheet1!$D$35:$D$39</c:f>
              <c:numCache>
                <c:formatCode>General</c:formatCode>
                <c:ptCount val="5"/>
                <c:pt idx="0">
                  <c:v>2.5918999999999999</c:v>
                </c:pt>
                <c:pt idx="1">
                  <c:v>2.4493</c:v>
                </c:pt>
                <c:pt idx="2">
                  <c:v>2.6078000000000001</c:v>
                </c:pt>
                <c:pt idx="3">
                  <c:v>2.6806000000000001</c:v>
                </c:pt>
                <c:pt idx="4">
                  <c:v>2.6941000000000002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B7-4F34-86EE-B6881D616AF4}"/>
            </c:ext>
          </c:extLst>
        </c:ser>
        <c:ser>
          <c:idx val="2"/>
          <c:order val="2"/>
          <c:tx>
            <c:strRef>
              <c:f>Sheet1!$E$33:$E$34</c:f>
              <c:strCache>
                <c:ptCount val="2"/>
                <c:pt idx="0">
                  <c:v>600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Sheet1!$B$35:$B$39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</c:numCache>
            </c:numRef>
          </c:cat>
          <c:val>
            <c:numRef>
              <c:f>Sheet1!$E$35:$E$39</c:f>
              <c:numCache>
                <c:formatCode>General</c:formatCode>
                <c:ptCount val="5"/>
                <c:pt idx="0">
                  <c:v>7.7023999999999999</c:v>
                </c:pt>
                <c:pt idx="1">
                  <c:v>10.4244</c:v>
                </c:pt>
                <c:pt idx="2">
                  <c:v>7.6473000000000004</c:v>
                </c:pt>
                <c:pt idx="3">
                  <c:v>7.3808999999999996</c:v>
                </c:pt>
                <c:pt idx="4">
                  <c:v>7.8502999999999998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B7-4F34-86EE-B6881D616AF4}"/>
            </c:ext>
          </c:extLst>
        </c:ser>
        <c:ser>
          <c:idx val="3"/>
          <c:order val="3"/>
          <c:tx>
            <c:strRef>
              <c:f>Sheet1!$F$33:$F$34</c:f>
              <c:strCache>
                <c:ptCount val="2"/>
                <c:pt idx="0">
                  <c:v>800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Sheet1!$B$35:$B$39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</c:numCache>
            </c:numRef>
          </c:cat>
          <c:val>
            <c:numRef>
              <c:f>Sheet1!$F$35:$F$39</c:f>
              <c:numCache>
                <c:formatCode>General</c:formatCode>
                <c:ptCount val="5"/>
                <c:pt idx="0">
                  <c:v>17.610900000000001</c:v>
                </c:pt>
                <c:pt idx="1">
                  <c:v>21.211500000000001</c:v>
                </c:pt>
                <c:pt idx="2">
                  <c:v>17.243500000000001</c:v>
                </c:pt>
                <c:pt idx="3">
                  <c:v>17.950900000000001</c:v>
                </c:pt>
                <c:pt idx="4">
                  <c:v>19.641500000000001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B7-4F34-86EE-B6881D616AF4}"/>
            </c:ext>
          </c:extLst>
        </c:ser>
        <c:ser>
          <c:idx val="4"/>
          <c:order val="4"/>
          <c:tx>
            <c:strRef>
              <c:f>Sheet1!$G$33:$G$34</c:f>
              <c:strCache>
                <c:ptCount val="2"/>
                <c:pt idx="0">
                  <c:v>1000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Sheet1!$B$35:$B$39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</c:numCache>
            </c:numRef>
          </c:cat>
          <c:val>
            <c:numRef>
              <c:f>Sheet1!$G$35:$G$39</c:f>
              <c:numCache>
                <c:formatCode>General</c:formatCode>
                <c:ptCount val="5"/>
                <c:pt idx="0">
                  <c:v>57.7119</c:v>
                </c:pt>
                <c:pt idx="1">
                  <c:v>29.1296</c:v>
                </c:pt>
                <c:pt idx="2">
                  <c:v>31.456299999999999</c:v>
                </c:pt>
                <c:pt idx="3">
                  <c:v>31.9282</c:v>
                </c:pt>
                <c:pt idx="4">
                  <c:v>46.3705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B7-4F34-86EE-B6881D616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655216"/>
        <c:axId val="290655696"/>
      </c:lineChart>
      <c:catAx>
        <c:axId val="29065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55696"/>
        <c:crosses val="autoZero"/>
        <c:auto val="1"/>
        <c:lblAlgn val="ctr"/>
        <c:lblOffset val="100"/>
        <c:noMultiLvlLbl val="0"/>
      </c:catAx>
      <c:valAx>
        <c:axId val="290655696"/>
        <c:scaling>
          <c:orientation val="minMax"/>
          <c:max val="46.5"/>
          <c:min val="2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5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Grafik Hasil Speedup</a:t>
            </a:r>
          </a:p>
        </c:rich>
      </c:tx>
      <c:layout>
        <c:manualLayout>
          <c:xMode val="edge"/>
          <c:yMode val="edge"/>
          <c:x val="0.406715223097112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Sheet1!$N$21</c:f>
              <c:strCache>
                <c:ptCount val="1"/>
                <c:pt idx="0">
                  <c:v>200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Sheet1!$M$22:$M$27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Sheet1!$N$22:$N$27</c:f>
              <c:numCache>
                <c:formatCode>0.00</c:formatCode>
                <c:ptCount val="6"/>
                <c:pt idx="0" formatCode="General">
                  <c:v>1</c:v>
                </c:pt>
                <c:pt idx="1">
                  <c:v>1.5957970271655562</c:v>
                </c:pt>
                <c:pt idx="2">
                  <c:v>1.7061819210637998</c:v>
                </c:pt>
                <c:pt idx="3">
                  <c:v>1.788002977401179</c:v>
                </c:pt>
                <c:pt idx="4">
                  <c:v>2.8289777771047966</c:v>
                </c:pt>
                <c:pt idx="5">
                  <c:v>1.1743266416728131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5-46FA-B8CB-A01386C29D3B}"/>
            </c:ext>
          </c:extLst>
        </c:ser>
        <c:ser>
          <c:idx val="1"/>
          <c:order val="1"/>
          <c:tx>
            <c:strRef>
              <c:f>Sheet1!$O$21</c:f>
              <c:strCache>
                <c:ptCount val="1"/>
                <c:pt idx="0">
                  <c:v>400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Sheet1!$M$22:$M$27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Sheet1!$O$22:$O$27</c:f>
              <c:numCache>
                <c:formatCode>0.00</c:formatCode>
                <c:ptCount val="6"/>
                <c:pt idx="0" formatCode="General">
                  <c:v>1</c:v>
                </c:pt>
                <c:pt idx="1">
                  <c:v>1.553127806046094</c:v>
                </c:pt>
                <c:pt idx="2">
                  <c:v>1.805514350648467</c:v>
                </c:pt>
                <c:pt idx="3">
                  <c:v>1.321130165348716</c:v>
                </c:pt>
                <c:pt idx="4">
                  <c:v>2.3487746426859641</c:v>
                </c:pt>
                <c:pt idx="5">
                  <c:v>2.326586870201055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E5-46FA-B8CB-A01386C29D3B}"/>
            </c:ext>
          </c:extLst>
        </c:ser>
        <c:ser>
          <c:idx val="2"/>
          <c:order val="2"/>
          <c:tx>
            <c:strRef>
              <c:f>Sheet1!$P$21</c:f>
              <c:strCache>
                <c:ptCount val="1"/>
                <c:pt idx="0">
                  <c:v>600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Sheet1!$M$22:$M$27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Sheet1!$P$22:$P$27</c:f>
              <c:numCache>
                <c:formatCode>0.00</c:formatCode>
                <c:ptCount val="6"/>
                <c:pt idx="0" formatCode="General">
                  <c:v>1</c:v>
                </c:pt>
                <c:pt idx="1">
                  <c:v>1.7740170940170943</c:v>
                </c:pt>
                <c:pt idx="2">
                  <c:v>1.6957794365765122</c:v>
                </c:pt>
                <c:pt idx="3">
                  <c:v>1.8008857079343217</c:v>
                </c:pt>
                <c:pt idx="4">
                  <c:v>0.79867815180956725</c:v>
                </c:pt>
                <c:pt idx="5">
                  <c:v>2.1545009484046669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E5-46FA-B8CB-A01386C29D3B}"/>
            </c:ext>
          </c:extLst>
        </c:ser>
        <c:ser>
          <c:idx val="3"/>
          <c:order val="3"/>
          <c:tx>
            <c:strRef>
              <c:f>Sheet1!$Q$21</c:f>
              <c:strCache>
                <c:ptCount val="1"/>
                <c:pt idx="0">
                  <c:v>800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Sheet1!$M$22:$M$27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Sheet1!$Q$22:$Q$27</c:f>
              <c:numCache>
                <c:formatCode>0.00</c:formatCode>
                <c:ptCount val="6"/>
                <c:pt idx="0" formatCode="General">
                  <c:v>1</c:v>
                </c:pt>
                <c:pt idx="1">
                  <c:v>1.6170146463072608</c:v>
                </c:pt>
                <c:pt idx="2">
                  <c:v>1.649644384760768</c:v>
                </c:pt>
                <c:pt idx="3">
                  <c:v>1.8658847757068857</c:v>
                </c:pt>
                <c:pt idx="4">
                  <c:v>2.7754058756571163</c:v>
                </c:pt>
                <c:pt idx="5">
                  <c:v>2.1226573763868339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E5-46FA-B8CB-A01386C29D3B}"/>
            </c:ext>
          </c:extLst>
        </c:ser>
        <c:ser>
          <c:idx val="4"/>
          <c:order val="4"/>
          <c:tx>
            <c:strRef>
              <c:f>Sheet1!$R$21</c:f>
              <c:strCache>
                <c:ptCount val="1"/>
                <c:pt idx="0">
                  <c:v>1000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Sheet1!$M$22:$M$27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Sheet1!$R$22:$R$27</c:f>
              <c:numCache>
                <c:formatCode>0.00</c:formatCode>
                <c:ptCount val="6"/>
                <c:pt idx="0" formatCode="General">
                  <c:v>1</c:v>
                </c:pt>
                <c:pt idx="1">
                  <c:v>1.694644023514043</c:v>
                </c:pt>
                <c:pt idx="2">
                  <c:v>1.6415005629585637</c:v>
                </c:pt>
                <c:pt idx="3">
                  <c:v>1.7543321062040091</c:v>
                </c:pt>
                <c:pt idx="4">
                  <c:v>2.5365187655389527</c:v>
                </c:pt>
                <c:pt idx="5">
                  <c:v>1.4615477512642736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E5-46FA-B8CB-A01386C29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039679"/>
        <c:axId val="200037279"/>
      </c:lineChart>
      <c:catAx>
        <c:axId val="20003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37279"/>
        <c:crosses val="autoZero"/>
        <c:auto val="1"/>
        <c:lblAlgn val="ctr"/>
        <c:lblOffset val="100"/>
        <c:noMultiLvlLbl val="0"/>
      </c:catAx>
      <c:valAx>
        <c:axId val="20003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3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Perbandingan</a:t>
            </a:r>
            <a:r>
              <a:rPr lang="en-ID" baseline="0"/>
              <a:t> </a:t>
            </a:r>
            <a:r>
              <a:rPr lang="en-ID"/>
              <a:t>Variasi Jumlah Data</a:t>
            </a:r>
            <a:r>
              <a:rPr lang="en-ID" baseline="0"/>
              <a:t> Terhadap 10 Prosesor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Sheet1!$AC$20:$AC$29</c:f>
              <c:numCache>
                <c:formatCode>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</c:numCache>
            </c:numRef>
          </c:xVal>
          <c:yVal>
            <c:numRef>
              <c:f>Sheet1!$AD$20:$AD$29</c:f>
              <c:numCache>
                <c:formatCode>0.00</c:formatCode>
                <c:ptCount val="10"/>
                <c:pt idx="0">
                  <c:v>0.29360000000000003</c:v>
                </c:pt>
                <c:pt idx="1">
                  <c:v>2.6677</c:v>
                </c:pt>
                <c:pt idx="2">
                  <c:v>7.3167</c:v>
                </c:pt>
                <c:pt idx="3">
                  <c:v>15.4384</c:v>
                </c:pt>
                <c:pt idx="4">
                  <c:v>28.62</c:v>
                </c:pt>
                <c:pt idx="5">
                  <c:v>48.0702</c:v>
                </c:pt>
                <c:pt idx="6">
                  <c:v>74.829599999999999</c:v>
                </c:pt>
                <c:pt idx="7">
                  <c:v>115.0543</c:v>
                </c:pt>
                <c:pt idx="8">
                  <c:v>170.99</c:v>
                </c:pt>
                <c:pt idx="9">
                  <c:v>275.3211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1E-4DBC-ADBC-AD36AE85D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034816"/>
        <c:axId val="1820035296"/>
      </c:scatterChart>
      <c:valAx>
        <c:axId val="1820034816"/>
        <c:scaling>
          <c:orientation val="minMax"/>
          <c:max val="20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Jumlah 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035296"/>
        <c:crosses val="autoZero"/>
        <c:crossBetween val="midCat"/>
      </c:valAx>
      <c:valAx>
        <c:axId val="182003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03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D" sz="1600" b="1" i="0" u="none" strike="noStrike" kern="1200" baseline="0">
                <a:solidFill>
                  <a:srgbClr val="44546A"/>
                </a:solidFill>
              </a:rPr>
              <a:t>Perbandingan Variasi Jumlah Prosesor Terhadap 1000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Sheet1!$AF$20:$AF$29</c:f>
              <c:numCache>
                <c:formatCode>General</c:formatCode>
                <c:ptCount val="10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 formatCode="0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</c:numCache>
            </c:numRef>
          </c:xVal>
          <c:yVal>
            <c:numRef>
              <c:f>Sheet1!$AG$20:$AG$29</c:f>
              <c:numCache>
                <c:formatCode>0.00</c:formatCode>
                <c:ptCount val="10"/>
                <c:pt idx="0">
                  <c:v>57.712000000000003</c:v>
                </c:pt>
                <c:pt idx="1">
                  <c:v>29.1297</c:v>
                </c:pt>
                <c:pt idx="2">
                  <c:v>31.456299999999999</c:v>
                </c:pt>
                <c:pt idx="3">
                  <c:v>31.9282</c:v>
                </c:pt>
                <c:pt idx="4">
                  <c:v>46.3705</c:v>
                </c:pt>
                <c:pt idx="5">
                  <c:v>34.328299999999999</c:v>
                </c:pt>
                <c:pt idx="6">
                  <c:v>48.576999999999998</c:v>
                </c:pt>
                <c:pt idx="7">
                  <c:v>70.465400000000002</c:v>
                </c:pt>
                <c:pt idx="8">
                  <c:v>93.371200000000002</c:v>
                </c:pt>
                <c:pt idx="9">
                  <c:v>119.9444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95-4B30-A026-7941D4135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134128"/>
        <c:axId val="1728133648"/>
      </c:scatterChart>
      <c:valAx>
        <c:axId val="1728134128"/>
        <c:scaling>
          <c:orientation val="minMax"/>
          <c:max val="22"/>
          <c:min val="4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Jumlah Prosesor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33648"/>
        <c:crosses val="autoZero"/>
        <c:crossBetween val="midCat"/>
      </c:valAx>
      <c:valAx>
        <c:axId val="172813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3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D" sz="1600" b="1" i="0" u="none" strike="noStrike" kern="1200" baseline="0">
                <a:solidFill>
                  <a:srgbClr val="44546A"/>
                </a:solidFill>
              </a:rPr>
              <a:t>Perbandingan Variasi Jumlah Dimensi Terhadap 10 Prosesor dan 1000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Sheet1!$AI$20:$AI$29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numCache>
            </c:numRef>
          </c:xVal>
          <c:yVal>
            <c:numRef>
              <c:f>Sheet1!$AJ$20:$AJ$29</c:f>
              <c:numCache>
                <c:formatCode>0.00</c:formatCode>
                <c:ptCount val="10"/>
                <c:pt idx="0">
                  <c:v>31.9282</c:v>
                </c:pt>
                <c:pt idx="1">
                  <c:v>29.5197</c:v>
                </c:pt>
                <c:pt idx="2">
                  <c:v>30.2225</c:v>
                </c:pt>
                <c:pt idx="3">
                  <c:v>31.254200000000001</c:v>
                </c:pt>
                <c:pt idx="4">
                  <c:v>31.569500000000001</c:v>
                </c:pt>
                <c:pt idx="5">
                  <c:v>32.386000000000003</c:v>
                </c:pt>
                <c:pt idx="6">
                  <c:v>32.926499999999997</c:v>
                </c:pt>
                <c:pt idx="7">
                  <c:v>36.115000000000002</c:v>
                </c:pt>
                <c:pt idx="8">
                  <c:v>35.5867</c:v>
                </c:pt>
                <c:pt idx="9">
                  <c:v>35.345300000000002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F8-466E-BC0C-4CF5C6F75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160"/>
        <c:axId val="96866640"/>
      </c:scatterChart>
      <c:valAx>
        <c:axId val="96866160"/>
        <c:scaling>
          <c:orientation val="minMax"/>
          <c:max val="12"/>
          <c:min val="3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Jumlah Dimensi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640"/>
        <c:crosses val="autoZero"/>
        <c:crossBetween val="midCat"/>
      </c:valAx>
      <c:valAx>
        <c:axId val="9686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426243</xdr:colOff>
      <xdr:row>40</xdr:row>
      <xdr:rowOff>152400</xdr:rowOff>
    </xdr:from>
    <xdr:to>
      <xdr:col>7</xdr:col>
      <xdr:colOff>464343</xdr:colOff>
      <xdr:row>56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DA4488-25B5-8AAA-D87D-24E552706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11907</xdr:colOff>
      <xdr:row>29</xdr:row>
      <xdr:rowOff>14288</xdr:rowOff>
    </xdr:from>
    <xdr:to>
      <xdr:col>19</xdr:col>
      <xdr:colOff>50007</xdr:colOff>
      <xdr:row>43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9B6AFF-5F16-8E73-C70D-957B3F6B0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26193</xdr:colOff>
      <xdr:row>30</xdr:row>
      <xdr:rowOff>66675</xdr:rowOff>
    </xdr:from>
    <xdr:to>
      <xdr:col>29</xdr:col>
      <xdr:colOff>54768</xdr:colOff>
      <xdr:row>44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3CF574-B1DC-9F8E-0C86-8DF435443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373855</xdr:colOff>
      <xdr:row>30</xdr:row>
      <xdr:rowOff>66675</xdr:rowOff>
    </xdr:from>
    <xdr:to>
      <xdr:col>36</xdr:col>
      <xdr:colOff>254793</xdr:colOff>
      <xdr:row>44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25DF8D-E73F-F27C-825C-473D526FE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445294</xdr:colOff>
      <xdr:row>30</xdr:row>
      <xdr:rowOff>66675</xdr:rowOff>
    </xdr:from>
    <xdr:to>
      <xdr:col>43</xdr:col>
      <xdr:colOff>483394</xdr:colOff>
      <xdr:row>44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88BD20-3136-0456-75F4-5953D154C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2B28-19C5-43B1-A617-FF5B9FE300C6}">
  <dimension ref="A4:AP39"/>
  <sheetViews>
    <sheetView tabSelected="1" topLeftCell="AE19" zoomScaleNormal="100" workbookViewId="0">
      <selection activeCell="AB29" sqref="AB29"/>
    </sheetView>
  </sheetViews>
  <sheetFormatPr defaultRowHeight="14.25" x14ac:dyDescent="0.45"/>
  <cols>
    <col min="3" max="5" width="11.6640625" bestFit="1" customWidth="1"/>
    <col min="29" max="29" width="9.19921875" bestFit="1" customWidth="1"/>
    <col min="30" max="30" width="9.1328125" bestFit="1" customWidth="1"/>
    <col min="36" max="36" width="11.19921875" bestFit="1" customWidth="1"/>
  </cols>
  <sheetData>
    <row r="4" spans="1:42" x14ac:dyDescent="0.45">
      <c r="C4" t="s">
        <v>0</v>
      </c>
      <c r="D4" t="s">
        <v>1</v>
      </c>
      <c r="E4" t="s">
        <v>1</v>
      </c>
      <c r="J4" t="s">
        <v>0</v>
      </c>
      <c r="K4" t="s">
        <v>1</v>
      </c>
      <c r="L4" t="s">
        <v>1</v>
      </c>
      <c r="Q4" t="s">
        <v>0</v>
      </c>
      <c r="R4" t="s">
        <v>3</v>
      </c>
      <c r="S4" t="s">
        <v>1</v>
      </c>
      <c r="X4" t="s">
        <v>0</v>
      </c>
      <c r="Y4" t="s">
        <v>3</v>
      </c>
      <c r="Z4" t="s">
        <v>1</v>
      </c>
      <c r="AE4" t="s">
        <v>0</v>
      </c>
      <c r="AF4" t="s">
        <v>3</v>
      </c>
      <c r="AG4" t="s">
        <v>1</v>
      </c>
      <c r="AM4" t="s">
        <v>0</v>
      </c>
      <c r="AN4" t="s">
        <v>3</v>
      </c>
      <c r="AO4" t="s">
        <v>1</v>
      </c>
    </row>
    <row r="5" spans="1:42" x14ac:dyDescent="0.45">
      <c r="A5" s="10">
        <v>4</v>
      </c>
      <c r="B5" s="1">
        <v>200</v>
      </c>
      <c r="C5" s="6">
        <v>0.3211</v>
      </c>
      <c r="D5" s="6">
        <v>0.2878</v>
      </c>
      <c r="E5" s="6">
        <v>0.36659999999999998</v>
      </c>
      <c r="F5" s="6">
        <f>AVERAGE(C5:E5)</f>
        <v>0.32516666666666666</v>
      </c>
      <c r="H5" s="10">
        <v>1</v>
      </c>
      <c r="I5" s="1">
        <v>200</v>
      </c>
      <c r="J5">
        <v>0.50280000000000002</v>
      </c>
      <c r="K5">
        <v>0.57640000000000002</v>
      </c>
      <c r="L5">
        <v>0.47749999999999998</v>
      </c>
      <c r="M5">
        <f>AVERAGE(J5:L5)</f>
        <v>0.51890000000000003</v>
      </c>
      <c r="O5" s="10">
        <v>4</v>
      </c>
      <c r="P5">
        <v>1200</v>
      </c>
      <c r="Q5" s="6">
        <v>95.769199999999998</v>
      </c>
      <c r="R5" s="6">
        <v>62.924900000000001</v>
      </c>
      <c r="S5" s="6">
        <v>62.5867</v>
      </c>
      <c r="T5" s="6">
        <f>AVERAGE(Q5:S5)</f>
        <v>73.760266666666666</v>
      </c>
      <c r="V5" s="10">
        <v>16</v>
      </c>
      <c r="W5" s="1">
        <v>200</v>
      </c>
      <c r="X5" s="6"/>
      <c r="Y5" s="6"/>
      <c r="Z5" s="6"/>
      <c r="AA5" s="6" t="e">
        <f t="shared" ref="AA5:AA15" si="0">AVERAGE(X5:Z5)</f>
        <v>#DIV/0!</v>
      </c>
      <c r="AC5" s="10">
        <v>20</v>
      </c>
      <c r="AD5">
        <v>1200</v>
      </c>
      <c r="AE5" s="6"/>
      <c r="AF5" s="6"/>
      <c r="AG5" s="6"/>
      <c r="AH5" s="6" t="e">
        <f t="shared" ref="AH5:AH15" si="1">AVERAGE(AE5:AG5)</f>
        <v>#DIV/0!</v>
      </c>
      <c r="AK5" s="10"/>
      <c r="AL5" t="s">
        <v>4</v>
      </c>
      <c r="AM5" s="6">
        <v>29.2898</v>
      </c>
      <c r="AN5" s="6">
        <v>29.697500000000002</v>
      </c>
      <c r="AO5" s="6">
        <v>29.571899999999999</v>
      </c>
      <c r="AP5" s="6">
        <f t="shared" ref="AP5:AP9" si="2">AVERAGE(AM5:AO5)</f>
        <v>29.519733333333335</v>
      </c>
    </row>
    <row r="6" spans="1:42" x14ac:dyDescent="0.45">
      <c r="A6" s="10"/>
      <c r="B6" s="1">
        <v>400</v>
      </c>
      <c r="C6" s="5">
        <v>2.4323000000000001</v>
      </c>
      <c r="D6" s="5">
        <v>2.7658</v>
      </c>
      <c r="E6" s="5">
        <v>2.5777999999999999</v>
      </c>
      <c r="F6" s="6">
        <f>AVERAGE(C6:E6)</f>
        <v>2.5919666666666665</v>
      </c>
      <c r="H6" s="10"/>
      <c r="I6" s="1">
        <v>400</v>
      </c>
      <c r="J6">
        <v>4.5597000000000003</v>
      </c>
      <c r="K6">
        <v>4.2249999999999996</v>
      </c>
      <c r="L6">
        <v>4.4824000000000002</v>
      </c>
      <c r="M6">
        <f>AVERAGE(J6:L6)</f>
        <v>4.422366666666667</v>
      </c>
      <c r="O6" s="10"/>
      <c r="P6">
        <v>1400</v>
      </c>
      <c r="Q6" s="6">
        <v>99.2376</v>
      </c>
      <c r="R6" s="6">
        <v>89.592299999999994</v>
      </c>
      <c r="S6" s="6">
        <v>93.971599999999995</v>
      </c>
      <c r="T6" s="6">
        <f>AVERAGE(Q6:S6)</f>
        <v>94.267166666666682</v>
      </c>
      <c r="V6" s="10"/>
      <c r="W6" s="1">
        <v>400</v>
      </c>
      <c r="X6" s="6"/>
      <c r="Y6" s="6"/>
      <c r="Z6" s="6"/>
      <c r="AA6" s="6" t="e">
        <f t="shared" si="0"/>
        <v>#DIV/0!</v>
      </c>
      <c r="AC6" s="10"/>
      <c r="AD6">
        <v>1400</v>
      </c>
      <c r="AE6" s="6"/>
      <c r="AF6" s="6"/>
      <c r="AG6" s="6"/>
      <c r="AH6" s="6" t="e">
        <f t="shared" si="1"/>
        <v>#DIV/0!</v>
      </c>
      <c r="AK6" s="10"/>
      <c r="AL6" t="s">
        <v>5</v>
      </c>
      <c r="AM6" s="6">
        <v>30.104900000000001</v>
      </c>
      <c r="AN6" s="6">
        <v>30.147400000000001</v>
      </c>
      <c r="AO6" s="6">
        <v>30.415199999999999</v>
      </c>
      <c r="AP6" s="6">
        <f t="shared" si="2"/>
        <v>30.2225</v>
      </c>
    </row>
    <row r="7" spans="1:42" x14ac:dyDescent="0.45">
      <c r="A7" s="10"/>
      <c r="B7" s="1">
        <v>600</v>
      </c>
      <c r="C7" s="5">
        <v>7.8647</v>
      </c>
      <c r="D7" s="5">
        <v>7.6687000000000003</v>
      </c>
      <c r="E7" s="5">
        <v>7.5739999999999998</v>
      </c>
      <c r="F7" s="6">
        <f>AVERAGE(C7:E7)</f>
        <v>7.7024666666666661</v>
      </c>
      <c r="H7" s="10"/>
      <c r="I7" s="1">
        <v>600</v>
      </c>
      <c r="J7">
        <v>14.472200000000001</v>
      </c>
      <c r="K7">
        <v>13.2889</v>
      </c>
      <c r="L7">
        <v>13.555</v>
      </c>
      <c r="M7">
        <f>AVERAGE(J7:L7)</f>
        <v>13.772033333333333</v>
      </c>
      <c r="O7" s="10"/>
      <c r="P7">
        <v>1600</v>
      </c>
      <c r="Q7" s="6">
        <v>138.9435</v>
      </c>
      <c r="R7" s="6">
        <v>129.82830000000001</v>
      </c>
      <c r="S7" s="6">
        <v>141.93700000000001</v>
      </c>
      <c r="T7" s="6">
        <f t="shared" ref="T7:T15" si="3">AVERAGE(Q7:S7)</f>
        <v>136.90293333333332</v>
      </c>
      <c r="V7" s="10"/>
      <c r="W7" s="1">
        <v>600</v>
      </c>
      <c r="X7" s="6"/>
      <c r="Y7" s="6"/>
      <c r="Z7" s="6"/>
      <c r="AA7" s="6" t="e">
        <f t="shared" si="0"/>
        <v>#DIV/0!</v>
      </c>
      <c r="AC7" s="10"/>
      <c r="AD7">
        <v>1600</v>
      </c>
      <c r="AE7" s="6"/>
      <c r="AF7" s="6"/>
      <c r="AG7" s="6"/>
      <c r="AH7" s="6" t="e">
        <f t="shared" si="1"/>
        <v>#DIV/0!</v>
      </c>
      <c r="AK7" s="10"/>
      <c r="AL7" t="s">
        <v>6</v>
      </c>
      <c r="AM7" s="6">
        <v>31.175000000000001</v>
      </c>
      <c r="AN7" s="6">
        <v>30.9984</v>
      </c>
      <c r="AO7" s="6">
        <v>31.589200000000002</v>
      </c>
      <c r="AP7" s="6">
        <f t="shared" si="2"/>
        <v>31.254200000000001</v>
      </c>
    </row>
    <row r="8" spans="1:42" x14ac:dyDescent="0.45">
      <c r="A8" s="10"/>
      <c r="B8" s="1">
        <v>800</v>
      </c>
      <c r="C8" s="5">
        <v>18.726600000000001</v>
      </c>
      <c r="D8" s="5">
        <v>16.7912</v>
      </c>
      <c r="E8" s="5">
        <v>17.315100000000001</v>
      </c>
      <c r="F8" s="6">
        <f t="shared" ref="F8:F29" si="4">AVERAGE(C8:E8)</f>
        <v>17.610966666666666</v>
      </c>
      <c r="H8" s="10"/>
      <c r="I8" s="1">
        <v>800</v>
      </c>
      <c r="J8">
        <v>34.762500000000003</v>
      </c>
      <c r="K8">
        <v>43.484499999999997</v>
      </c>
      <c r="L8">
        <v>71.216099999999997</v>
      </c>
      <c r="M8">
        <f>AVERAGE(J8:L8)</f>
        <v>49.821033333333332</v>
      </c>
      <c r="O8" s="10"/>
      <c r="P8">
        <v>1800</v>
      </c>
      <c r="Q8" s="6">
        <v>188.3972</v>
      </c>
      <c r="R8" s="6">
        <v>189.422</v>
      </c>
      <c r="S8" s="6">
        <v>162.08959999999999</v>
      </c>
      <c r="T8" s="6">
        <f t="shared" si="3"/>
        <v>179.96960000000001</v>
      </c>
      <c r="V8" s="10"/>
      <c r="W8" s="1">
        <v>800</v>
      </c>
      <c r="X8" s="6"/>
      <c r="Y8" s="6"/>
      <c r="Z8" s="6"/>
      <c r="AA8" s="6" t="e">
        <f t="shared" si="0"/>
        <v>#DIV/0!</v>
      </c>
      <c r="AC8" s="10"/>
      <c r="AD8">
        <v>1800</v>
      </c>
      <c r="AE8" s="6"/>
      <c r="AF8" s="6"/>
      <c r="AG8" s="6"/>
      <c r="AH8" s="6" t="e">
        <f t="shared" si="1"/>
        <v>#DIV/0!</v>
      </c>
      <c r="AK8" s="10"/>
      <c r="AL8" t="s">
        <v>7</v>
      </c>
      <c r="AM8" s="6">
        <v>32.052999999999997</v>
      </c>
      <c r="AN8" s="6">
        <v>31.347300000000001</v>
      </c>
      <c r="AO8" s="6">
        <v>31.3081</v>
      </c>
      <c r="AP8" s="6">
        <f t="shared" si="2"/>
        <v>31.569466666666667</v>
      </c>
    </row>
    <row r="9" spans="1:42" x14ac:dyDescent="0.45">
      <c r="A9" s="10"/>
      <c r="B9" s="1">
        <v>1000</v>
      </c>
      <c r="C9" s="5">
        <v>53.063800000000001</v>
      </c>
      <c r="D9" s="5">
        <v>55.520200000000003</v>
      </c>
      <c r="E9" s="5">
        <v>64.551900000000003</v>
      </c>
      <c r="F9" s="6">
        <f t="shared" si="4"/>
        <v>57.711966666666662</v>
      </c>
      <c r="H9" s="10"/>
      <c r="I9" s="1">
        <v>1000</v>
      </c>
      <c r="J9">
        <v>61.1113</v>
      </c>
      <c r="K9">
        <v>60.347900000000003</v>
      </c>
      <c r="L9">
        <v>81.858900000000006</v>
      </c>
      <c r="M9">
        <f>AVERAGE(J9:L9)</f>
        <v>67.7727</v>
      </c>
      <c r="O9" s="10"/>
      <c r="P9">
        <v>2000</v>
      </c>
      <c r="Q9" s="6">
        <v>232.65780000000001</v>
      </c>
      <c r="R9" s="6">
        <v>240.04830000000001</v>
      </c>
      <c r="S9" s="6">
        <v>231.01779999999999</v>
      </c>
      <c r="T9" s="6">
        <f t="shared" si="3"/>
        <v>234.57463333333331</v>
      </c>
      <c r="V9" s="10"/>
      <c r="W9" s="1">
        <v>1000</v>
      </c>
      <c r="X9" s="6">
        <v>50.591000000000001</v>
      </c>
      <c r="Y9" s="6">
        <v>47.156799999999997</v>
      </c>
      <c r="Z9" s="6">
        <v>47.9831</v>
      </c>
      <c r="AA9" s="6">
        <f t="shared" si="0"/>
        <v>48.576966666666664</v>
      </c>
      <c r="AC9" s="10"/>
      <c r="AD9">
        <v>2000</v>
      </c>
      <c r="AE9" s="6">
        <v>90.746099999999998</v>
      </c>
      <c r="AF9" s="6">
        <v>93.462100000000007</v>
      </c>
      <c r="AG9" s="6">
        <v>95.905500000000004</v>
      </c>
      <c r="AH9" s="6">
        <f t="shared" si="1"/>
        <v>93.371233333333336</v>
      </c>
      <c r="AK9" s="10"/>
      <c r="AL9" t="s">
        <v>8</v>
      </c>
      <c r="AM9" s="6">
        <v>32.989800000000002</v>
      </c>
      <c r="AN9" s="6">
        <v>31.931699999999999</v>
      </c>
      <c r="AO9" s="6">
        <v>32.236600000000003</v>
      </c>
      <c r="AP9" s="6">
        <f t="shared" si="2"/>
        <v>32.386033333333337</v>
      </c>
    </row>
    <row r="10" spans="1:42" x14ac:dyDescent="0.45">
      <c r="A10" s="10">
        <v>6</v>
      </c>
      <c r="B10" s="1">
        <v>200</v>
      </c>
      <c r="C10" s="6">
        <v>0.33629999999999999</v>
      </c>
      <c r="D10" s="6">
        <v>0.34289999999999998</v>
      </c>
      <c r="E10" s="6">
        <v>0.32300000000000001</v>
      </c>
      <c r="F10" s="6">
        <v>0.33410000000000001</v>
      </c>
      <c r="Q10" t="s">
        <v>0</v>
      </c>
      <c r="R10" t="s">
        <v>3</v>
      </c>
      <c r="S10" t="s">
        <v>1</v>
      </c>
      <c r="X10" t="s">
        <v>0</v>
      </c>
      <c r="Y10" t="s">
        <v>3</v>
      </c>
      <c r="Z10" t="s">
        <v>1</v>
      </c>
      <c r="AL10" t="s">
        <v>9</v>
      </c>
      <c r="AM10" s="6">
        <v>33.602800000000002</v>
      </c>
      <c r="AN10" s="6">
        <v>32.989600000000003</v>
      </c>
      <c r="AO10" s="6">
        <v>32.186999999999998</v>
      </c>
      <c r="AP10" s="6">
        <f t="shared" ref="AP10:AP13" si="5">AVERAGE(AM10:AO10)</f>
        <v>32.926466666666663</v>
      </c>
    </row>
    <row r="11" spans="1:42" x14ac:dyDescent="0.45">
      <c r="A11" s="10"/>
      <c r="B11" s="1">
        <v>400</v>
      </c>
      <c r="C11" s="5">
        <v>2.4140999999999999</v>
      </c>
      <c r="D11" s="5">
        <v>2.4211</v>
      </c>
      <c r="E11" s="5">
        <v>2.5129000000000001</v>
      </c>
      <c r="F11" s="6">
        <f t="shared" si="4"/>
        <v>2.4493666666666667</v>
      </c>
      <c r="O11" s="10">
        <v>14</v>
      </c>
      <c r="P11" s="1">
        <v>200</v>
      </c>
      <c r="Q11" s="6"/>
      <c r="R11" s="6"/>
      <c r="S11" s="6"/>
      <c r="T11" s="6" t="e">
        <f t="shared" si="3"/>
        <v>#DIV/0!</v>
      </c>
      <c r="V11" s="10">
        <v>18</v>
      </c>
      <c r="W11" s="1">
        <v>200</v>
      </c>
      <c r="X11" s="6"/>
      <c r="Y11" s="6"/>
      <c r="Z11" s="6"/>
      <c r="AA11" s="6" t="e">
        <f t="shared" si="0"/>
        <v>#DIV/0!</v>
      </c>
      <c r="AC11" s="10">
        <v>22</v>
      </c>
      <c r="AD11" s="1">
        <v>200</v>
      </c>
      <c r="AE11" s="6"/>
      <c r="AF11" s="6"/>
      <c r="AG11" s="6"/>
      <c r="AH11" s="6"/>
      <c r="AL11" t="s">
        <v>10</v>
      </c>
      <c r="AM11" s="6">
        <v>36.701000000000001</v>
      </c>
      <c r="AN11" s="6">
        <v>35.122100000000003</v>
      </c>
      <c r="AO11" s="6">
        <v>36.521900000000002</v>
      </c>
      <c r="AP11" s="6">
        <f t="shared" si="5"/>
        <v>36.115000000000002</v>
      </c>
    </row>
    <row r="12" spans="1:42" x14ac:dyDescent="0.45">
      <c r="A12" s="10"/>
      <c r="B12" s="1">
        <v>600</v>
      </c>
      <c r="C12" s="5">
        <v>12.7951</v>
      </c>
      <c r="D12" s="5">
        <v>7.3005000000000004</v>
      </c>
      <c r="E12" s="5">
        <v>11.1777</v>
      </c>
      <c r="F12" s="6">
        <f t="shared" si="4"/>
        <v>10.424433333333333</v>
      </c>
      <c r="O12" s="10"/>
      <c r="P12" s="1">
        <v>400</v>
      </c>
      <c r="Q12" s="6"/>
      <c r="R12" s="6"/>
      <c r="S12" s="6"/>
      <c r="T12" s="6" t="e">
        <f t="shared" si="3"/>
        <v>#DIV/0!</v>
      </c>
      <c r="V12" s="10"/>
      <c r="W12" s="1">
        <v>400</v>
      </c>
      <c r="X12" s="6"/>
      <c r="Y12" s="6"/>
      <c r="Z12" s="6"/>
      <c r="AA12" s="6" t="e">
        <f t="shared" si="0"/>
        <v>#DIV/0!</v>
      </c>
      <c r="AC12" s="10"/>
      <c r="AD12" s="1">
        <v>400</v>
      </c>
      <c r="AE12" s="6"/>
      <c r="AF12" s="6"/>
      <c r="AG12" s="6"/>
      <c r="AH12" s="6"/>
      <c r="AL12" t="s">
        <v>11</v>
      </c>
      <c r="AM12" s="6">
        <v>34.9557</v>
      </c>
      <c r="AN12" s="6">
        <v>35.561799999999998</v>
      </c>
      <c r="AO12" s="6">
        <v>36.2425</v>
      </c>
      <c r="AP12" s="6">
        <f t="shared" si="5"/>
        <v>35.586666666666666</v>
      </c>
    </row>
    <row r="13" spans="1:42" x14ac:dyDescent="0.45">
      <c r="A13" s="10"/>
      <c r="B13" s="1">
        <v>800</v>
      </c>
      <c r="C13" s="5">
        <v>19.358499999999999</v>
      </c>
      <c r="D13" s="5">
        <v>15.292999999999999</v>
      </c>
      <c r="E13" s="5">
        <v>28.983000000000001</v>
      </c>
      <c r="F13" s="6">
        <f t="shared" si="4"/>
        <v>21.211500000000001</v>
      </c>
      <c r="O13" s="10"/>
      <c r="P13" s="1">
        <v>600</v>
      </c>
      <c r="Q13" s="6"/>
      <c r="R13" s="6"/>
      <c r="S13" s="6"/>
      <c r="T13" s="6" t="e">
        <f t="shared" si="3"/>
        <v>#DIV/0!</v>
      </c>
      <c r="V13" s="10"/>
      <c r="W13" s="1">
        <v>600</v>
      </c>
      <c r="X13" s="6"/>
      <c r="Y13" s="6"/>
      <c r="Z13" s="6"/>
      <c r="AA13" s="6" t="e">
        <f t="shared" si="0"/>
        <v>#DIV/0!</v>
      </c>
      <c r="AC13" s="10"/>
      <c r="AD13" s="1">
        <v>600</v>
      </c>
      <c r="AE13" s="6"/>
      <c r="AF13" s="6"/>
      <c r="AG13" s="6"/>
      <c r="AH13" s="6"/>
      <c r="AL13" t="s">
        <v>12</v>
      </c>
      <c r="AM13" s="6">
        <v>35.3962</v>
      </c>
      <c r="AN13" s="6">
        <v>35.363900000000001</v>
      </c>
      <c r="AO13" s="6">
        <v>35.275700000000001</v>
      </c>
      <c r="AP13" s="6">
        <f t="shared" si="5"/>
        <v>35.345266666666667</v>
      </c>
    </row>
    <row r="14" spans="1:42" x14ac:dyDescent="0.45">
      <c r="A14" s="10"/>
      <c r="B14" s="1">
        <v>1000</v>
      </c>
      <c r="C14" s="5">
        <v>30.281700000000001</v>
      </c>
      <c r="D14" s="5">
        <v>28.138999999999999</v>
      </c>
      <c r="E14" s="5">
        <v>28.968299999999999</v>
      </c>
      <c r="F14" s="6">
        <f t="shared" si="4"/>
        <v>29.129666666666665</v>
      </c>
      <c r="I14" s="1">
        <v>200</v>
      </c>
      <c r="J14">
        <v>0.51890000000000003</v>
      </c>
      <c r="O14" s="10"/>
      <c r="P14" s="1">
        <v>800</v>
      </c>
      <c r="Q14" s="6"/>
      <c r="R14" s="6"/>
      <c r="S14" s="6"/>
      <c r="T14" s="6" t="e">
        <f t="shared" si="3"/>
        <v>#DIV/0!</v>
      </c>
      <c r="V14" s="10"/>
      <c r="W14" s="1">
        <v>800</v>
      </c>
      <c r="X14" s="6"/>
      <c r="Y14" s="6"/>
      <c r="Z14" s="6"/>
      <c r="AA14" s="6" t="e">
        <f t="shared" si="0"/>
        <v>#DIV/0!</v>
      </c>
      <c r="AC14" s="10"/>
      <c r="AD14" s="1">
        <v>800</v>
      </c>
      <c r="AE14" s="6"/>
      <c r="AF14" s="6"/>
      <c r="AG14" s="6"/>
      <c r="AH14" s="6"/>
    </row>
    <row r="15" spans="1:42" x14ac:dyDescent="0.45">
      <c r="A15" s="10">
        <v>8</v>
      </c>
      <c r="B15" s="1">
        <v>200</v>
      </c>
      <c r="C15" s="6">
        <v>0.30790000000000001</v>
      </c>
      <c r="D15" s="6">
        <v>0.3039</v>
      </c>
      <c r="E15" s="6">
        <v>0.26579999999999998</v>
      </c>
      <c r="F15" s="6">
        <v>0.29249999999999998</v>
      </c>
      <c r="I15" s="1">
        <v>400</v>
      </c>
      <c r="J15">
        <v>4.4223670000000004</v>
      </c>
      <c r="O15" s="10"/>
      <c r="P15" s="1">
        <v>1000</v>
      </c>
      <c r="Q15" s="6">
        <v>32.133499999999998</v>
      </c>
      <c r="R15" s="6">
        <v>33.330599999999997</v>
      </c>
      <c r="S15" s="6">
        <v>37.520899999999997</v>
      </c>
      <c r="T15" s="6">
        <f t="shared" si="3"/>
        <v>34.328333333333333</v>
      </c>
      <c r="V15" s="10"/>
      <c r="W15" s="1">
        <v>1000</v>
      </c>
      <c r="X15" s="6">
        <v>72.700999999999993</v>
      </c>
      <c r="Y15" s="6">
        <v>71.343599999999995</v>
      </c>
      <c r="Z15" s="6">
        <v>67.351600000000005</v>
      </c>
      <c r="AA15" s="6">
        <f t="shared" si="0"/>
        <v>70.465400000000002</v>
      </c>
      <c r="AC15" s="10"/>
      <c r="AD15" s="1">
        <v>1000</v>
      </c>
      <c r="AE15" s="6">
        <v>116.8476</v>
      </c>
      <c r="AF15" s="6">
        <v>120.3587</v>
      </c>
      <c r="AG15" s="6">
        <v>122.627</v>
      </c>
      <c r="AH15" s="6">
        <f t="shared" si="1"/>
        <v>119.94443333333334</v>
      </c>
    </row>
    <row r="16" spans="1:42" x14ac:dyDescent="0.45">
      <c r="A16" s="10"/>
      <c r="B16" s="1">
        <v>400</v>
      </c>
      <c r="C16" s="6">
        <v>2.5871</v>
      </c>
      <c r="D16" s="6">
        <v>2.5903</v>
      </c>
      <c r="E16" s="6">
        <v>2.6461999999999999</v>
      </c>
      <c r="F16" s="6">
        <f t="shared" si="4"/>
        <v>2.6078666666666668</v>
      </c>
      <c r="I16" s="1">
        <v>600</v>
      </c>
      <c r="J16">
        <v>13.772030000000001</v>
      </c>
    </row>
    <row r="17" spans="1:36" x14ac:dyDescent="0.45">
      <c r="A17" s="10"/>
      <c r="B17" s="1">
        <v>600</v>
      </c>
      <c r="C17" s="6">
        <v>8.2042999999999999</v>
      </c>
      <c r="D17" s="6">
        <v>7.3653000000000004</v>
      </c>
      <c r="E17" s="6">
        <v>7.3724999999999996</v>
      </c>
      <c r="F17" s="6">
        <f t="shared" si="4"/>
        <v>7.6473666666666666</v>
      </c>
      <c r="I17" s="1">
        <v>800</v>
      </c>
      <c r="J17">
        <v>49.82103</v>
      </c>
    </row>
    <row r="18" spans="1:36" x14ac:dyDescent="0.45">
      <c r="A18" s="10"/>
      <c r="B18" s="1">
        <v>800</v>
      </c>
      <c r="C18" s="6">
        <v>16.352599999999999</v>
      </c>
      <c r="D18" s="6">
        <v>18.369800000000001</v>
      </c>
      <c r="E18" s="6">
        <v>17.008199999999999</v>
      </c>
      <c r="F18" s="6">
        <f t="shared" si="4"/>
        <v>17.243533333333332</v>
      </c>
      <c r="I18" s="1">
        <v>1000</v>
      </c>
      <c r="J18">
        <v>67.7727</v>
      </c>
    </row>
    <row r="19" spans="1:36" x14ac:dyDescent="0.45">
      <c r="A19" s="10"/>
      <c r="B19" s="1">
        <v>1000</v>
      </c>
      <c r="C19" s="6">
        <v>33.6248</v>
      </c>
      <c r="D19" s="6">
        <v>30.7746</v>
      </c>
      <c r="E19" s="6">
        <v>29.9696</v>
      </c>
      <c r="F19" s="6">
        <f t="shared" si="4"/>
        <v>31.456333333333333</v>
      </c>
      <c r="W19" t="s">
        <v>0</v>
      </c>
      <c r="X19" t="s">
        <v>3</v>
      </c>
      <c r="Y19" t="s">
        <v>1</v>
      </c>
    </row>
    <row r="20" spans="1:36" x14ac:dyDescent="0.45">
      <c r="A20" s="10">
        <v>10</v>
      </c>
      <c r="B20" s="1">
        <v>200</v>
      </c>
      <c r="C20" s="6">
        <v>0.37869999999999998</v>
      </c>
      <c r="D20" s="6">
        <v>0.26790000000000003</v>
      </c>
      <c r="E20" s="6">
        <v>0.31630000000000003</v>
      </c>
      <c r="F20" s="6">
        <v>0.32090000000000002</v>
      </c>
      <c r="N20" s="10" t="s">
        <v>2</v>
      </c>
      <c r="O20" s="10"/>
      <c r="P20" s="10"/>
      <c r="Q20" s="10"/>
      <c r="R20" s="10"/>
      <c r="S20" s="10"/>
      <c r="U20" s="10">
        <v>10</v>
      </c>
      <c r="V20" s="2">
        <v>200</v>
      </c>
      <c r="W20" s="6">
        <v>0.26290000000000002</v>
      </c>
      <c r="X20" s="6">
        <v>0.315</v>
      </c>
      <c r="Y20" s="6">
        <v>0.30299999999999999</v>
      </c>
      <c r="Z20" s="6">
        <f>AVERAGE(W20:Y20)</f>
        <v>0.29363333333333336</v>
      </c>
      <c r="AC20" s="9">
        <v>200</v>
      </c>
      <c r="AD20" s="7">
        <v>0.29360000000000003</v>
      </c>
      <c r="AF20" s="2">
        <v>4</v>
      </c>
      <c r="AG20" s="7">
        <v>57.712000000000003</v>
      </c>
      <c r="AI20" s="2">
        <v>3</v>
      </c>
      <c r="AJ20" s="7">
        <v>31.9282</v>
      </c>
    </row>
    <row r="21" spans="1:36" x14ac:dyDescent="0.45">
      <c r="A21" s="10"/>
      <c r="B21" s="1">
        <v>400</v>
      </c>
      <c r="C21" s="6">
        <v>2.6863000000000001</v>
      </c>
      <c r="D21" s="6">
        <v>2.6909999999999998</v>
      </c>
      <c r="E21" s="6">
        <v>2.6650999999999998</v>
      </c>
      <c r="F21" s="6">
        <f t="shared" si="4"/>
        <v>2.6808000000000001</v>
      </c>
      <c r="N21">
        <v>200</v>
      </c>
      <c r="O21">
        <v>400</v>
      </c>
      <c r="P21">
        <v>600</v>
      </c>
      <c r="Q21">
        <v>800</v>
      </c>
      <c r="R21">
        <v>1000</v>
      </c>
      <c r="U21" s="10"/>
      <c r="V21" s="2">
        <v>400</v>
      </c>
      <c r="W21" s="6">
        <v>2.637</v>
      </c>
      <c r="X21" s="6">
        <v>2.6791999999999998</v>
      </c>
      <c r="Y21" s="6">
        <v>2.6867999999999999</v>
      </c>
      <c r="Z21" s="6">
        <f t="shared" ref="Z21:Z29" si="6">AVERAGE(W21:Y21)</f>
        <v>2.6676666666666669</v>
      </c>
      <c r="AC21" s="9">
        <v>400</v>
      </c>
      <c r="AD21" s="7">
        <v>2.6677</v>
      </c>
      <c r="AF21" s="2">
        <v>6</v>
      </c>
      <c r="AG21" s="7">
        <v>29.1297</v>
      </c>
      <c r="AI21" s="2">
        <v>4</v>
      </c>
      <c r="AJ21" s="7">
        <v>29.5197</v>
      </c>
    </row>
    <row r="22" spans="1:36" x14ac:dyDescent="0.45">
      <c r="A22" s="10"/>
      <c r="B22" s="1">
        <v>600</v>
      </c>
      <c r="C22" s="6">
        <v>7.258</v>
      </c>
      <c r="D22" s="6">
        <v>7.0359999999999996</v>
      </c>
      <c r="E22" s="6">
        <v>7.8489000000000004</v>
      </c>
      <c r="F22" s="6">
        <f t="shared" si="4"/>
        <v>7.3809666666666667</v>
      </c>
      <c r="M22" s="2">
        <v>1</v>
      </c>
      <c r="N22">
        <v>1</v>
      </c>
      <c r="O22">
        <v>1</v>
      </c>
      <c r="P22">
        <v>1</v>
      </c>
      <c r="Q22">
        <v>1</v>
      </c>
      <c r="R22">
        <v>1</v>
      </c>
      <c r="U22" s="10"/>
      <c r="V22" s="2">
        <v>600</v>
      </c>
      <c r="W22" s="6">
        <v>7.5922000000000001</v>
      </c>
      <c r="X22" s="6">
        <v>7.1768999999999998</v>
      </c>
      <c r="Y22" s="6">
        <v>7.1809000000000003</v>
      </c>
      <c r="Z22" s="6">
        <f t="shared" si="6"/>
        <v>7.3166666666666664</v>
      </c>
      <c r="AC22" s="9">
        <v>600</v>
      </c>
      <c r="AD22" s="7">
        <v>7.3167</v>
      </c>
      <c r="AF22" s="2">
        <v>8</v>
      </c>
      <c r="AG22" s="7">
        <v>31.456299999999999</v>
      </c>
      <c r="AI22" s="2">
        <v>5</v>
      </c>
      <c r="AJ22" s="7">
        <v>30.2225</v>
      </c>
    </row>
    <row r="23" spans="1:36" x14ac:dyDescent="0.45">
      <c r="A23" s="10"/>
      <c r="B23" s="1">
        <v>800</v>
      </c>
      <c r="C23" s="6">
        <v>20.714700000000001</v>
      </c>
      <c r="D23" s="6">
        <v>16.655000000000001</v>
      </c>
      <c r="E23" s="6">
        <v>16.483000000000001</v>
      </c>
      <c r="F23" s="6">
        <f t="shared" si="4"/>
        <v>17.950900000000001</v>
      </c>
      <c r="M23" s="2">
        <v>4</v>
      </c>
      <c r="N23" s="7">
        <f>M5/F5</f>
        <v>1.5957970271655562</v>
      </c>
      <c r="O23" s="7">
        <f>M5/F10</f>
        <v>1.553127806046094</v>
      </c>
      <c r="P23" s="7">
        <f>M5/F15</f>
        <v>1.7740170940170943</v>
      </c>
      <c r="Q23" s="7">
        <f>M5/F20</f>
        <v>1.6170146463072608</v>
      </c>
      <c r="R23" s="7">
        <f>M5/F25</f>
        <v>1.694644023514043</v>
      </c>
      <c r="U23" s="10"/>
      <c r="V23" s="2">
        <v>800</v>
      </c>
      <c r="W23" s="6">
        <v>15.643000000000001</v>
      </c>
      <c r="X23" s="6">
        <v>15.319699999999999</v>
      </c>
      <c r="Y23" s="6">
        <v>15.352399999999999</v>
      </c>
      <c r="Z23" s="6">
        <f t="shared" si="6"/>
        <v>15.438366666666667</v>
      </c>
      <c r="AC23" s="9">
        <v>800</v>
      </c>
      <c r="AD23" s="7">
        <v>15.4384</v>
      </c>
      <c r="AF23" s="9">
        <v>10</v>
      </c>
      <c r="AG23" s="7">
        <v>31.9282</v>
      </c>
      <c r="AI23" s="2">
        <v>6</v>
      </c>
      <c r="AJ23" s="7">
        <v>31.254200000000001</v>
      </c>
    </row>
    <row r="24" spans="1:36" x14ac:dyDescent="0.45">
      <c r="A24" s="10"/>
      <c r="B24" s="1">
        <v>1000</v>
      </c>
      <c r="C24" s="6">
        <v>36.478400000000001</v>
      </c>
      <c r="D24" s="6">
        <v>28.970800000000001</v>
      </c>
      <c r="E24" s="6">
        <v>30.3355</v>
      </c>
      <c r="F24" s="6">
        <f t="shared" si="4"/>
        <v>31.928233333333335</v>
      </c>
      <c r="M24" s="2">
        <v>6</v>
      </c>
      <c r="N24" s="7">
        <f>M6/F6</f>
        <v>1.7061819210637998</v>
      </c>
      <c r="O24" s="7">
        <f>M6/F11</f>
        <v>1.805514350648467</v>
      </c>
      <c r="P24" s="7">
        <f>M6/F16</f>
        <v>1.6957794365765122</v>
      </c>
      <c r="Q24" s="7">
        <f>M6/F21</f>
        <v>1.649644384760768</v>
      </c>
      <c r="R24" s="7">
        <f>M6/F26</f>
        <v>1.6415005629585637</v>
      </c>
      <c r="U24" s="10"/>
      <c r="V24" s="2">
        <v>1000</v>
      </c>
      <c r="W24" s="6">
        <v>28.3276</v>
      </c>
      <c r="X24" s="6">
        <v>28.8032</v>
      </c>
      <c r="Y24" s="6">
        <v>28.729099999999999</v>
      </c>
      <c r="Z24" s="6">
        <f t="shared" si="6"/>
        <v>28.619966666666667</v>
      </c>
      <c r="AC24" s="9">
        <v>1000</v>
      </c>
      <c r="AD24" s="7">
        <v>28.62</v>
      </c>
      <c r="AF24" s="2">
        <v>12</v>
      </c>
      <c r="AG24" s="7">
        <v>46.3705</v>
      </c>
      <c r="AI24" s="2">
        <v>7</v>
      </c>
      <c r="AJ24" s="7">
        <v>31.569500000000001</v>
      </c>
    </row>
    <row r="25" spans="1:36" x14ac:dyDescent="0.45">
      <c r="A25" s="10">
        <v>12</v>
      </c>
      <c r="B25" s="1">
        <v>200</v>
      </c>
      <c r="C25" s="6">
        <v>0.29799999999999999</v>
      </c>
      <c r="D25" s="6">
        <v>0.2908</v>
      </c>
      <c r="E25" s="6">
        <v>0.32979999999999998</v>
      </c>
      <c r="F25" s="6">
        <v>0.30620000000000003</v>
      </c>
      <c r="M25" s="2">
        <v>8</v>
      </c>
      <c r="N25" s="7">
        <f>M7/F7</f>
        <v>1.788002977401179</v>
      </c>
      <c r="O25" s="7">
        <f>M7/F12</f>
        <v>1.321130165348716</v>
      </c>
      <c r="P25" s="7">
        <f>M7/F17</f>
        <v>1.8008857079343217</v>
      </c>
      <c r="Q25" s="7">
        <f>M7/F22</f>
        <v>1.8658847757068857</v>
      </c>
      <c r="R25" s="7">
        <f>M7/F27</f>
        <v>1.7543321062040091</v>
      </c>
      <c r="U25" s="10"/>
      <c r="V25" s="2">
        <v>1200</v>
      </c>
      <c r="W25" s="6">
        <v>47.777799999999999</v>
      </c>
      <c r="X25" s="6">
        <v>48.2256</v>
      </c>
      <c r="Y25" s="6">
        <v>48.207099999999997</v>
      </c>
      <c r="Z25" s="6">
        <f t="shared" si="6"/>
        <v>48.070166666666665</v>
      </c>
      <c r="AC25" s="9">
        <v>1200</v>
      </c>
      <c r="AD25" s="7">
        <v>48.0702</v>
      </c>
      <c r="AF25" s="2">
        <v>14</v>
      </c>
      <c r="AG25" s="7">
        <v>34.328299999999999</v>
      </c>
      <c r="AI25" s="2">
        <v>8</v>
      </c>
      <c r="AJ25" s="7">
        <v>32.386000000000003</v>
      </c>
    </row>
    <row r="26" spans="1:36" x14ac:dyDescent="0.45">
      <c r="A26" s="10"/>
      <c r="B26" s="1">
        <v>400</v>
      </c>
      <c r="C26" s="6">
        <v>2.7574999999999998</v>
      </c>
      <c r="D26" s="6">
        <v>2.6478000000000002</v>
      </c>
      <c r="E26" s="6">
        <v>2.677</v>
      </c>
      <c r="F26" s="6">
        <f t="shared" si="4"/>
        <v>2.6941000000000002</v>
      </c>
      <c r="M26" s="2">
        <v>10</v>
      </c>
      <c r="N26" s="7">
        <f>M8/F8</f>
        <v>2.8289777771047966</v>
      </c>
      <c r="O26" s="7">
        <f>M8/F13</f>
        <v>2.3487746426859641</v>
      </c>
      <c r="P26" s="7">
        <f>M7/F18</f>
        <v>0.79867815180956725</v>
      </c>
      <c r="Q26" s="7">
        <f>M8/F23</f>
        <v>2.7754058756571163</v>
      </c>
      <c r="R26" s="7">
        <f>M8/F28</f>
        <v>2.5365187655389527</v>
      </c>
      <c r="U26" s="10"/>
      <c r="V26" s="2">
        <v>1400</v>
      </c>
      <c r="W26" s="6">
        <v>73.1387</v>
      </c>
      <c r="X26" s="6">
        <v>74.435299999999998</v>
      </c>
      <c r="Y26" s="6">
        <v>76.914699999999996</v>
      </c>
      <c r="Z26" s="6">
        <f t="shared" si="6"/>
        <v>74.829566666666665</v>
      </c>
      <c r="AC26" s="9">
        <v>1400</v>
      </c>
      <c r="AD26" s="7">
        <v>74.829599999999999</v>
      </c>
      <c r="AF26" s="2">
        <v>16</v>
      </c>
      <c r="AG26" s="7">
        <v>48.576999999999998</v>
      </c>
      <c r="AI26" s="2">
        <v>9</v>
      </c>
      <c r="AJ26" s="7">
        <v>32.926499999999997</v>
      </c>
    </row>
    <row r="27" spans="1:36" x14ac:dyDescent="0.45">
      <c r="A27" s="10"/>
      <c r="B27" s="1">
        <v>600</v>
      </c>
      <c r="C27" s="6">
        <v>7.4432</v>
      </c>
      <c r="D27" s="6">
        <v>7.3364000000000003</v>
      </c>
      <c r="E27" s="6">
        <v>8.7713000000000001</v>
      </c>
      <c r="F27" s="6">
        <f t="shared" si="4"/>
        <v>7.8502999999999998</v>
      </c>
      <c r="M27" s="2">
        <v>12</v>
      </c>
      <c r="N27" s="7">
        <f>M9/F9</f>
        <v>1.1743266416728131</v>
      </c>
      <c r="O27" s="7">
        <f>M9/F14</f>
        <v>2.326586870201055</v>
      </c>
      <c r="P27" s="7">
        <f>M9/F19</f>
        <v>2.1545009484046669</v>
      </c>
      <c r="Q27" s="7">
        <f>M9/F24</f>
        <v>2.1226573763868339</v>
      </c>
      <c r="R27" s="7">
        <f>M9/F29</f>
        <v>1.4615477512642736</v>
      </c>
      <c r="U27" s="10"/>
      <c r="V27" s="2">
        <v>1600</v>
      </c>
      <c r="W27" s="8">
        <v>110.5749</v>
      </c>
      <c r="X27" s="6">
        <v>116.0338</v>
      </c>
      <c r="Y27" s="6">
        <v>118.55410000000001</v>
      </c>
      <c r="Z27" s="6">
        <f t="shared" si="6"/>
        <v>115.05426666666666</v>
      </c>
      <c r="AC27" s="9">
        <v>1600</v>
      </c>
      <c r="AD27" s="7">
        <v>115.0543</v>
      </c>
      <c r="AF27" s="2">
        <v>18</v>
      </c>
      <c r="AG27" s="7">
        <v>70.465400000000002</v>
      </c>
      <c r="AI27" s="2">
        <v>10</v>
      </c>
      <c r="AJ27" s="7">
        <v>36.115000000000002</v>
      </c>
    </row>
    <row r="28" spans="1:36" x14ac:dyDescent="0.45">
      <c r="A28" s="10"/>
      <c r="B28" s="1">
        <v>800</v>
      </c>
      <c r="C28" s="6">
        <v>27.12</v>
      </c>
      <c r="D28" s="6">
        <v>16.007100000000001</v>
      </c>
      <c r="E28" s="6">
        <v>15.7974</v>
      </c>
      <c r="F28" s="6">
        <f t="shared" si="4"/>
        <v>19.641499999999997</v>
      </c>
      <c r="U28" s="10"/>
      <c r="V28" s="2">
        <v>1800</v>
      </c>
      <c r="W28" s="6">
        <v>171.52780000000001</v>
      </c>
      <c r="X28" s="6">
        <v>171.05719999999999</v>
      </c>
      <c r="Y28" s="6">
        <v>170.38509999999999</v>
      </c>
      <c r="Z28" s="6">
        <f t="shared" si="6"/>
        <v>170.99003333333334</v>
      </c>
      <c r="AC28" s="9">
        <v>1800</v>
      </c>
      <c r="AD28" s="7">
        <v>170.99</v>
      </c>
      <c r="AF28" s="2">
        <v>20</v>
      </c>
      <c r="AG28" s="7">
        <v>93.371200000000002</v>
      </c>
      <c r="AI28" s="2">
        <v>11</v>
      </c>
      <c r="AJ28" s="7">
        <v>35.5867</v>
      </c>
    </row>
    <row r="29" spans="1:36" x14ac:dyDescent="0.45">
      <c r="A29" s="10"/>
      <c r="B29" s="1">
        <v>1000</v>
      </c>
      <c r="C29" s="6">
        <v>71.293000000000006</v>
      </c>
      <c r="D29" s="6">
        <v>37.543999999999997</v>
      </c>
      <c r="E29" s="6">
        <v>30.2745</v>
      </c>
      <c r="F29" s="6">
        <f t="shared" si="4"/>
        <v>46.3705</v>
      </c>
      <c r="U29" s="10"/>
      <c r="V29" s="2">
        <v>2000</v>
      </c>
      <c r="W29" s="6">
        <v>231.3493</v>
      </c>
      <c r="X29" s="6">
        <v>291.15940000000001</v>
      </c>
      <c r="Y29" s="6">
        <v>303.4545</v>
      </c>
      <c r="Z29" s="6">
        <f t="shared" si="6"/>
        <v>275.32106666666664</v>
      </c>
      <c r="AC29" s="9">
        <v>2000</v>
      </c>
      <c r="AD29" s="7">
        <v>275.3211</v>
      </c>
      <c r="AF29" s="2">
        <v>22</v>
      </c>
      <c r="AG29" s="7">
        <v>119.9444</v>
      </c>
      <c r="AI29" s="2">
        <v>12</v>
      </c>
      <c r="AJ29" s="7">
        <v>35.345300000000002</v>
      </c>
    </row>
    <row r="32" spans="1:36" ht="14.65" thickBot="1" x14ac:dyDescent="0.5"/>
    <row r="33" spans="2:7" ht="15.4" customHeight="1" x14ac:dyDescent="0.45">
      <c r="B33" s="13"/>
      <c r="C33" s="11">
        <v>200</v>
      </c>
      <c r="D33" s="11">
        <v>400</v>
      </c>
      <c r="E33" s="11">
        <v>600</v>
      </c>
      <c r="F33" s="11">
        <v>800</v>
      </c>
      <c r="G33" s="11">
        <v>1000</v>
      </c>
    </row>
    <row r="34" spans="2:7" ht="14.65" thickBot="1" x14ac:dyDescent="0.5">
      <c r="B34" s="14"/>
      <c r="C34" s="12"/>
      <c r="D34" s="12"/>
      <c r="E34" s="12"/>
      <c r="F34" s="12"/>
      <c r="G34" s="12"/>
    </row>
    <row r="35" spans="2:7" ht="15.75" thickBot="1" x14ac:dyDescent="0.5">
      <c r="B35" s="3">
        <v>4</v>
      </c>
      <c r="C35" s="4">
        <v>0.3251</v>
      </c>
      <c r="D35" s="4">
        <v>2.5918999999999999</v>
      </c>
      <c r="E35" s="4">
        <v>7.7023999999999999</v>
      </c>
      <c r="F35" s="4">
        <v>17.610900000000001</v>
      </c>
      <c r="G35" s="4">
        <v>57.7119</v>
      </c>
    </row>
    <row r="36" spans="2:7" ht="15.75" thickBot="1" x14ac:dyDescent="0.5">
      <c r="B36" s="3">
        <v>6</v>
      </c>
      <c r="C36" s="4">
        <v>0.33410000000000001</v>
      </c>
      <c r="D36" s="4">
        <v>2.4493</v>
      </c>
      <c r="E36" s="4">
        <v>10.4244</v>
      </c>
      <c r="F36" s="4">
        <v>21.211500000000001</v>
      </c>
      <c r="G36" s="4">
        <v>29.1296</v>
      </c>
    </row>
    <row r="37" spans="2:7" ht="15.75" thickBot="1" x14ac:dyDescent="0.5">
      <c r="B37" s="3">
        <v>8</v>
      </c>
      <c r="C37" s="4">
        <v>0.29249999999999998</v>
      </c>
      <c r="D37" s="4">
        <v>2.6078000000000001</v>
      </c>
      <c r="E37" s="4">
        <v>7.6473000000000004</v>
      </c>
      <c r="F37" s="4">
        <v>17.243500000000001</v>
      </c>
      <c r="G37" s="4">
        <v>31.456299999999999</v>
      </c>
    </row>
    <row r="38" spans="2:7" ht="15.75" thickBot="1" x14ac:dyDescent="0.5">
      <c r="B38" s="3">
        <v>10</v>
      </c>
      <c r="C38" s="4">
        <v>0.32090000000000002</v>
      </c>
      <c r="D38" s="4">
        <v>2.6806000000000001</v>
      </c>
      <c r="E38" s="4">
        <v>7.3808999999999996</v>
      </c>
      <c r="F38" s="4">
        <v>17.950900000000001</v>
      </c>
      <c r="G38" s="4">
        <v>31.9282</v>
      </c>
    </row>
    <row r="39" spans="2:7" ht="15.75" thickBot="1" x14ac:dyDescent="0.5">
      <c r="B39" s="3">
        <v>12</v>
      </c>
      <c r="C39" s="4">
        <v>0.30620000000000003</v>
      </c>
      <c r="D39" s="4">
        <v>2.6941000000000002</v>
      </c>
      <c r="E39" s="4">
        <v>7.8502999999999998</v>
      </c>
      <c r="F39" s="4">
        <v>19.641500000000001</v>
      </c>
      <c r="G39" s="4">
        <v>46.3705</v>
      </c>
    </row>
  </sheetData>
  <mergeCells count="21">
    <mergeCell ref="H5:H9"/>
    <mergeCell ref="N20:S20"/>
    <mergeCell ref="G33:G34"/>
    <mergeCell ref="A5:A9"/>
    <mergeCell ref="A10:A14"/>
    <mergeCell ref="A15:A19"/>
    <mergeCell ref="A20:A24"/>
    <mergeCell ref="A25:A29"/>
    <mergeCell ref="B33:B34"/>
    <mergeCell ref="C33:C34"/>
    <mergeCell ref="D33:D34"/>
    <mergeCell ref="E33:E34"/>
    <mergeCell ref="F33:F34"/>
    <mergeCell ref="O5:O9"/>
    <mergeCell ref="O11:O15"/>
    <mergeCell ref="AK5:AK9"/>
    <mergeCell ref="U20:U29"/>
    <mergeCell ref="V5:V9"/>
    <mergeCell ref="V11:V15"/>
    <mergeCell ref="AC5:AC9"/>
    <mergeCell ref="AC11:AC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Yadan's Acer</dc:creator>
  <cp:lastModifiedBy>Yadan's Acer</cp:lastModifiedBy>
  <dcterms:created xsi:type="dcterms:W3CDTF">2026-05-04T05:20:56Z</dcterms:created>
  <dcterms:modified xsi:type="dcterms:W3CDTF">2026-06-01T18:01:06Z</dcterms:modified>
</cp:coreProperties>
</file>